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mo usar" sheetId="1" state="visible" r:id="rId1"/>
    <sheet name="Calculadora" sheetId="2" state="visible" r:id="rId2"/>
    <sheet name="Receitas prontas" sheetId="3" state="visible" r:id="rId3"/>
    <sheet name="Meta do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name val="Calibri"/>
      <b val="1"/>
      <color rgb="00E8590C"/>
      <sz val="18"/>
    </font>
    <font>
      <b val="1"/>
    </font>
    <font>
      <b val="1"/>
      <color rgb="00FFFFFF"/>
    </font>
    <font/>
    <font>
      <b val="1"/>
      <color rgb="00E8590C"/>
      <sz val="13"/>
    </font>
    <font>
      <b val="1"/>
      <color rgb="00E8590C"/>
    </font>
    <font>
      <i val="1"/>
      <color rgb="0078716C"/>
    </font>
  </fonts>
  <fills count="5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E8590C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2" borderId="1" pivotButton="0" quotePrefix="0" xfId="0"/>
    <xf numFmtId="164" fontId="0" fillId="2" borderId="1" pivotButton="0" quotePrefix="0" xfId="0"/>
    <xf numFmtId="164" fontId="0" fillId="0" borderId="1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0" pivotButton="0" quotePrefix="0" xfId="0"/>
    <xf numFmtId="164" fontId="2" fillId="4" borderId="0" pivotButton="0" quotePrefix="0" xfId="0"/>
    <xf numFmtId="0" fontId="5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1" pivotButton="0" quotePrefix="0" xfId="0"/>
    <xf numFmtId="164" fontId="2" fillId="4" borderId="1" pivotButton="0" quotePrefix="0" xfId="0"/>
    <xf numFmtId="0" fontId="7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Kit Quanto Cobrar · Planilha de Precificação</t>
        </is>
      </c>
    </row>
    <row r="2">
      <c r="A2" s="2" t="inlineStr"/>
    </row>
    <row r="3">
      <c r="A3" s="2" t="inlineStr">
        <is>
          <t>1. Abra a aba "Calculadora".</t>
        </is>
      </c>
    </row>
    <row r="4">
      <c r="A4" s="2" t="inlineStr">
        <is>
          <t>2. Preencha só as células em amarelo-claro: ingredientes, preço do pacote, tamanho do pacote e quanto usa na receita.</t>
        </is>
      </c>
    </row>
    <row r="5">
      <c r="A5" s="2" t="inlineStr">
        <is>
          <t xml:space="preserve">   Use a MESMA unidade no pacote e no "quanto usa" (ex.: pacote 1000 g e usa 400 g; caixa 395 g e usa 197 g).</t>
        </is>
      </c>
    </row>
    <row r="6">
      <c r="A6" s="2" t="inlineStr">
        <is>
          <t>3. Informe quanto tempo vai ao fogo/forno, o preço do botijão, a embalagem e quantas unidades a receita rende.</t>
        </is>
      </c>
    </row>
    <row r="7">
      <c r="A7" s="2" t="inlineStr">
        <is>
          <t>4. A planilha mostra o custo de cada unidade e 3 preços de venda: entrada, recomendado e caprichado.</t>
        </is>
      </c>
    </row>
    <row r="8">
      <c r="A8" s="2" t="inlineStr">
        <is>
          <t>5. Em "Seu trabalho", coloque as horas e quanto quer ganhar por hora: aparece o preço mínimo para não trabalhar de graça.</t>
        </is>
      </c>
    </row>
    <row r="9">
      <c r="A9" s="2" t="inlineStr">
        <is>
          <t>6. Na aba "Receitas prontas" estão 50 receitas com custo e preço já calculados (preços de mercado de referência).</t>
        </is>
      </c>
    </row>
    <row r="10">
      <c r="A10" s="2" t="inlineStr">
        <is>
          <t>7. Na aba "Meta do mês" você descobre quantas unidades precisa vender para chegar no lucro que quer.</t>
        </is>
      </c>
    </row>
    <row r="11">
      <c r="A11" s="2" t="inlineStr"/>
    </row>
    <row r="12">
      <c r="A12" s="3" t="inlineStr">
        <is>
          <t>Regra de ouro: preço = custo × 2,5 (no mínimo × 2). Nunca venda pelo preço do custo.</t>
        </is>
      </c>
    </row>
    <row r="13">
      <c r="A13" s="2" t="inlineStr">
        <is>
          <t>Bônus: com o app Quanto Cobrar você faz tudo isso no celular, com as receitas e os custos prontos.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  <col width="18" customWidth="1" min="5" max="5"/>
    <col width="16" customWidth="1" min="6" max="6"/>
    <col width="4" customWidth="1" min="7" max="7"/>
    <col width="14" customWidth="1" min="9" max="9"/>
    <col width="14" customWidth="1" min="10" max="10"/>
  </cols>
  <sheetData>
    <row r="1">
      <c r="A1" s="4" t="inlineStr">
        <is>
          <t>Calculadora de preço</t>
        </is>
      </c>
    </row>
    <row r="2">
      <c r="A2" t="inlineStr">
        <is>
          <t>Nome da receita:</t>
        </is>
      </c>
      <c r="B2" s="5" t="inlineStr">
        <is>
          <t>Ex.: Brigadeiro gourmet</t>
        </is>
      </c>
    </row>
    <row r="4">
      <c r="A4" s="6" t="inlineStr">
        <is>
          <t>Ingrediente</t>
        </is>
      </c>
      <c r="B4" s="6" t="inlineStr">
        <is>
          <t>Preço do pacote</t>
        </is>
      </c>
      <c r="C4" s="6" t="inlineStr">
        <is>
          <t>Tamanho do pacote</t>
        </is>
      </c>
      <c r="D4" s="6" t="inlineStr">
        <is>
          <t>Unidade</t>
        </is>
      </c>
      <c r="E4" s="6" t="inlineStr">
        <is>
          <t>Quanto usa</t>
        </is>
      </c>
      <c r="F4" s="6" t="inlineStr">
        <is>
          <t>Custo</t>
        </is>
      </c>
      <c r="I4" t="inlineStr">
        <is>
          <t>Chama</t>
        </is>
      </c>
      <c r="J4" t="inlineStr">
        <is>
          <t>kg de gás/hora</t>
        </is>
      </c>
    </row>
    <row r="5">
      <c r="A5" s="7" t="inlineStr">
        <is>
          <t>Leite condensado</t>
        </is>
      </c>
      <c r="B5" s="8" t="n">
        <v>6.99</v>
      </c>
      <c r="C5" s="7" t="n">
        <v>395</v>
      </c>
      <c r="D5" s="7" t="inlineStr">
        <is>
          <t>g</t>
        </is>
      </c>
      <c r="E5" s="7" t="n">
        <v>395</v>
      </c>
      <c r="F5" s="9">
        <f>IF(OR(C5="",C5=0,E5=""),0,B5/C5*E5)</f>
        <v/>
      </c>
      <c r="I5" t="inlineStr">
        <is>
          <t>Fogo baixo</t>
        </is>
      </c>
      <c r="J5" t="n">
        <v>0.08</v>
      </c>
    </row>
    <row r="6">
      <c r="A6" s="7" t="inlineStr">
        <is>
          <t>Chocolate em pó 50%</t>
        </is>
      </c>
      <c r="B6" s="8" t="n">
        <v>12.9</v>
      </c>
      <c r="C6" s="7" t="n">
        <v>200</v>
      </c>
      <c r="D6" s="7" t="inlineStr">
        <is>
          <t>g</t>
        </is>
      </c>
      <c r="E6" s="7" t="n">
        <v>40</v>
      </c>
      <c r="F6" s="9">
        <f>IF(OR(C6="",C6=0,E6=""),0,B6/C6*E6)</f>
        <v/>
      </c>
      <c r="I6" t="inlineStr">
        <is>
          <t>Fogo médio</t>
        </is>
      </c>
      <c r="J6" t="n">
        <v>0.15</v>
      </c>
    </row>
    <row r="7">
      <c r="A7" s="7" t="inlineStr">
        <is>
          <t>Manteiga</t>
        </is>
      </c>
      <c r="B7" s="8" t="n">
        <v>9.9</v>
      </c>
      <c r="C7" s="7" t="n">
        <v>200</v>
      </c>
      <c r="D7" s="7" t="inlineStr">
        <is>
          <t>g</t>
        </is>
      </c>
      <c r="E7" s="7" t="n">
        <v>15</v>
      </c>
      <c r="F7" s="9">
        <f>IF(OR(C7="",C7=0,E7=""),0,B7/C7*E7)</f>
        <v/>
      </c>
      <c r="I7" t="inlineStr">
        <is>
          <t>Fogo alto</t>
        </is>
      </c>
      <c r="J7" t="n">
        <v>0.23</v>
      </c>
    </row>
    <row r="8">
      <c r="A8" s="7" t="inlineStr">
        <is>
          <t>Granulado</t>
        </is>
      </c>
      <c r="B8" s="8" t="n">
        <v>7.5</v>
      </c>
      <c r="C8" s="7" t="n">
        <v>500</v>
      </c>
      <c r="D8" s="7" t="inlineStr">
        <is>
          <t>g</t>
        </is>
      </c>
      <c r="E8" s="7" t="n">
        <v>120</v>
      </c>
      <c r="F8" s="9">
        <f>IF(OR(C8="",C8=0,E8=""),0,B8/C8*E8)</f>
        <v/>
      </c>
      <c r="I8" t="inlineStr">
        <is>
          <t>Forno</t>
        </is>
      </c>
      <c r="J8" t="n">
        <v>0.2</v>
      </c>
    </row>
    <row r="9">
      <c r="A9" s="7" t="n"/>
      <c r="B9" s="8" t="n"/>
      <c r="C9" s="7" t="n"/>
      <c r="D9" s="7" t="n"/>
      <c r="E9" s="7" t="n"/>
      <c r="F9" s="9">
        <f>IF(OR(C9="",C9=0,E9=""),0,B9/C9*E9)</f>
        <v/>
      </c>
    </row>
    <row r="10">
      <c r="A10" s="7" t="n"/>
      <c r="B10" s="8" t="n"/>
      <c r="C10" s="7" t="n"/>
      <c r="D10" s="7" t="n"/>
      <c r="E10" s="7" t="n"/>
      <c r="F10" s="9">
        <f>IF(OR(C10="",C10=0,E10=""),0,B10/C10*E10)</f>
        <v/>
      </c>
    </row>
    <row r="11">
      <c r="A11" s="7" t="n"/>
      <c r="B11" s="8" t="n"/>
      <c r="C11" s="7" t="n"/>
      <c r="D11" s="7" t="n"/>
      <c r="E11" s="7" t="n"/>
      <c r="F11" s="9">
        <f>IF(OR(C11="",C11=0,E11=""),0,B11/C11*E11)</f>
        <v/>
      </c>
    </row>
    <row r="12">
      <c r="A12" s="7" t="n"/>
      <c r="B12" s="8" t="n"/>
      <c r="C12" s="7" t="n"/>
      <c r="D12" s="7" t="n"/>
      <c r="E12" s="7" t="n"/>
      <c r="F12" s="9">
        <f>IF(OR(C12="",C12=0,E12=""),0,B12/C12*E12)</f>
        <v/>
      </c>
    </row>
    <row r="13">
      <c r="A13" s="7" t="n"/>
      <c r="B13" s="8" t="n"/>
      <c r="C13" s="7" t="n"/>
      <c r="D13" s="7" t="n"/>
      <c r="E13" s="7" t="n"/>
      <c r="F13" s="9">
        <f>IF(OR(C13="",C13=0,E13=""),0,B13/C13*E13)</f>
        <v/>
      </c>
    </row>
    <row r="14">
      <c r="A14" s="7" t="n"/>
      <c r="B14" s="8" t="n"/>
      <c r="C14" s="7" t="n"/>
      <c r="D14" s="7" t="n"/>
      <c r="E14" s="7" t="n"/>
      <c r="F14" s="9">
        <f>IF(OR(C14="",C14=0,E14=""),0,B14/C14*E14)</f>
        <v/>
      </c>
    </row>
    <row r="15">
      <c r="A15" s="7" t="n"/>
      <c r="B15" s="8" t="n"/>
      <c r="C15" s="7" t="n"/>
      <c r="D15" s="7" t="n"/>
      <c r="E15" s="7" t="n"/>
      <c r="F15" s="9">
        <f>IF(OR(C15="",C15=0,E15=""),0,B15/C15*E15)</f>
        <v/>
      </c>
    </row>
    <row r="16">
      <c r="A16" s="7" t="n"/>
      <c r="B16" s="8" t="n"/>
      <c r="C16" s="7" t="n"/>
      <c r="D16" s="7" t="n"/>
      <c r="E16" s="7" t="n"/>
      <c r="F16" s="9">
        <f>IF(OR(C16="",C16=0,E16=""),0,B16/C16*E16)</f>
        <v/>
      </c>
    </row>
    <row r="17">
      <c r="A17" s="7" t="n"/>
      <c r="B17" s="8" t="n"/>
      <c r="C17" s="7" t="n"/>
      <c r="D17" s="7" t="n"/>
      <c r="E17" s="7" t="n"/>
      <c r="F17" s="9">
        <f>IF(OR(C17="",C17=0,E17=""),0,B17/C17*E17)</f>
        <v/>
      </c>
    </row>
    <row r="18">
      <c r="A18" s="7" t="n"/>
      <c r="B18" s="8" t="n"/>
      <c r="C18" s="7" t="n"/>
      <c r="D18" s="7" t="n"/>
      <c r="E18" s="7" t="n"/>
      <c r="F18" s="9">
        <f>IF(OR(C18="",C18=0,E18=""),0,B18/C18*E18)</f>
        <v/>
      </c>
    </row>
    <row r="19">
      <c r="A19" s="7" t="n"/>
      <c r="B19" s="8" t="n"/>
      <c r="C19" s="7" t="n"/>
      <c r="D19" s="7" t="n"/>
      <c r="E19" s="7" t="n"/>
      <c r="F19" s="9">
        <f>IF(OR(C19="",C19=0,E19=""),0,B19/C19*E19)</f>
        <v/>
      </c>
    </row>
    <row r="20">
      <c r="A20" s="7" t="n"/>
      <c r="B20" s="8" t="n"/>
      <c r="C20" s="7" t="n"/>
      <c r="D20" s="7" t="n"/>
      <c r="E20" s="7" t="n"/>
      <c r="F20" s="9">
        <f>IF(OR(C20="",C20=0,E20=""),0,B20/C20*E20)</f>
        <v/>
      </c>
    </row>
    <row r="21">
      <c r="A21" s="7" t="n"/>
      <c r="B21" s="8" t="n"/>
      <c r="C21" s="7" t="n"/>
      <c r="D21" s="7" t="n"/>
      <c r="E21" s="7" t="n"/>
      <c r="F21" s="9">
        <f>IF(OR(C21="",C21=0,E21=""),0,B21/C21*E21)</f>
        <v/>
      </c>
    </row>
    <row r="22">
      <c r="A22" s="7" t="n"/>
      <c r="B22" s="8" t="n"/>
      <c r="C22" s="7" t="n"/>
      <c r="D22" s="7" t="n"/>
      <c r="E22" s="7" t="n"/>
      <c r="F22" s="9">
        <f>IF(OR(C22="",C22=0,E22=""),0,B22/C22*E22)</f>
        <v/>
      </c>
    </row>
    <row r="23">
      <c r="A23" s="7" t="n"/>
      <c r="B23" s="8" t="n"/>
      <c r="C23" s="7" t="n"/>
      <c r="D23" s="7" t="n"/>
      <c r="E23" s="7" t="n"/>
      <c r="F23" s="9">
        <f>IF(OR(C23="",C23=0,E23=""),0,B23/C23*E23)</f>
        <v/>
      </c>
    </row>
    <row r="24">
      <c r="A24" s="7" t="n"/>
      <c r="B24" s="8" t="n"/>
      <c r="C24" s="7" t="n"/>
      <c r="D24" s="7" t="n"/>
      <c r="E24" s="7" t="n"/>
      <c r="F24" s="9">
        <f>IF(OR(C24="",C24=0,E24=""),0,B24/C24*E24)</f>
        <v/>
      </c>
    </row>
    <row r="25">
      <c r="E25" t="inlineStr">
        <is>
          <t>Ingredientes:</t>
        </is>
      </c>
      <c r="F25" s="10">
        <f>SUM(F5:F24)</f>
        <v/>
      </c>
    </row>
    <row r="27">
      <c r="A27" t="inlineStr">
        <is>
          <t>Tempo no fogo/forno (minutos)</t>
        </is>
      </c>
      <c r="B27" s="7" t="n">
        <v>30</v>
      </c>
    </row>
    <row r="28">
      <c r="A28" t="inlineStr">
        <is>
          <t>Tipo de chama</t>
        </is>
      </c>
      <c r="B28" s="7" t="inlineStr">
        <is>
          <t>Fogo baixo</t>
        </is>
      </c>
    </row>
    <row r="29">
      <c r="A29" t="inlineStr">
        <is>
          <t>Preço do botijão de 13 kg</t>
        </is>
      </c>
      <c r="B29" s="8" t="n">
        <v>120</v>
      </c>
    </row>
    <row r="30">
      <c r="A30" t="inlineStr">
        <is>
          <t>Embalagem por unidade (forminha, saquinho…)</t>
        </is>
      </c>
      <c r="B30" s="8" t="n">
        <v>0.2</v>
      </c>
    </row>
    <row r="31">
      <c r="A31" t="inlineStr">
        <is>
          <t>Outros custos da receita (luz, água, etiqueta…)</t>
        </is>
      </c>
      <c r="B31" s="8" t="n">
        <v>1</v>
      </c>
    </row>
    <row r="32">
      <c r="A32" t="inlineStr">
        <is>
          <t>Quantas unidades a receita rende</t>
        </is>
      </c>
      <c r="B32" s="7" t="n">
        <v>25</v>
      </c>
    </row>
    <row r="34">
      <c r="A34" s="11" t="inlineStr">
        <is>
          <t>Custo do gás</t>
        </is>
      </c>
      <c r="B34" s="12">
        <f>B27/60*IFERROR(VLOOKUP(B28,$I$5:$J$8,2,FALSE),0.15)*B29/13</f>
        <v/>
      </c>
    </row>
    <row r="35">
      <c r="A35" s="11" t="inlineStr">
        <is>
          <t>Custo das embalagens</t>
        </is>
      </c>
      <c r="B35" s="12">
        <f>B30*B32</f>
        <v/>
      </c>
    </row>
    <row r="36">
      <c r="A36" s="13" t="inlineStr">
        <is>
          <t>CUSTO TOTAL DA RECEITA</t>
        </is>
      </c>
      <c r="B36" s="14">
        <f>F25+B34+B35+B31</f>
        <v/>
      </c>
    </row>
    <row r="37">
      <c r="A37" s="13" t="inlineStr">
        <is>
          <t>CUSTO DE CADA UNIDADE</t>
        </is>
      </c>
      <c r="B37" s="14">
        <f>IF(B32&gt;0,B36/B32,0)</f>
        <v/>
      </c>
    </row>
    <row r="39">
      <c r="A39" s="15" t="inlineStr">
        <is>
          <t>PREÇO DE VENDA POR UNIDADE</t>
        </is>
      </c>
    </row>
    <row r="40">
      <c r="B40" s="16" t="inlineStr">
        <is>
          <t>Preço</t>
        </is>
      </c>
      <c r="C40" s="16" t="inlineStr">
        <is>
          <t>Lucro por unidade</t>
        </is>
      </c>
      <c r="E40" s="16" t="inlineStr">
        <is>
          <t>Lucro da receita</t>
        </is>
      </c>
    </row>
    <row r="41">
      <c r="A41" s="11" t="inlineStr">
        <is>
          <t>Preço de entrada (custo × 2)</t>
        </is>
      </c>
      <c r="B41" s="14">
        <f>CEILING(B37*2,0.5)</f>
        <v/>
      </c>
      <c r="C41" s="17">
        <f>B41-B37</f>
        <v/>
      </c>
      <c r="E41" s="17">
        <f>C41*B32</f>
        <v/>
      </c>
    </row>
    <row r="42">
      <c r="A42" s="13" t="inlineStr">
        <is>
          <t>RECOMENDADO (custo × 2,5)</t>
        </is>
      </c>
      <c r="B42" s="14">
        <f>CEILING(B37*2.5,0.5)</f>
        <v/>
      </c>
      <c r="C42" s="17">
        <f>B42-B37</f>
        <v/>
      </c>
      <c r="E42" s="17">
        <f>C42*B32</f>
        <v/>
      </c>
    </row>
    <row r="43">
      <c r="A43" s="11" t="inlineStr">
        <is>
          <t>Produto caprichado (custo × 3)</t>
        </is>
      </c>
      <c r="B43" s="14">
        <f>CEILING(B37*3,0.5)</f>
        <v/>
      </c>
      <c r="C43" s="17">
        <f>B43-B37</f>
        <v/>
      </c>
      <c r="E43" s="17">
        <f>C43*B32</f>
        <v/>
      </c>
    </row>
    <row r="45">
      <c r="A45" s="18" t="inlineStr">
        <is>
          <t>SEU TRABALHO (para não trabalhar de graça)</t>
        </is>
      </c>
    </row>
    <row r="46">
      <c r="A46" t="inlineStr">
        <is>
          <t>Horas de trabalho na receita</t>
        </is>
      </c>
      <c r="B46" s="7" t="n">
        <v>2</v>
      </c>
    </row>
    <row r="47">
      <c r="A47" t="inlineStr">
        <is>
          <t>Quanto quer ganhar por hora</t>
        </is>
      </c>
      <c r="B47" s="8" t="n">
        <v>15</v>
      </c>
    </row>
    <row r="48">
      <c r="A48" s="13" t="inlineStr">
        <is>
          <t>Preço mínimo pagando o seu trabalho</t>
        </is>
      </c>
      <c r="B48" s="14">
        <f>IF(B32&gt;0,CEILING((B36+B46*B47)/B32,0.5),0)</f>
        <v/>
      </c>
    </row>
  </sheetData>
  <mergeCells count="1">
    <mergeCell ref="B2:E2"/>
  </mergeCells>
  <dataValidations count="2">
    <dataValidation sqref="D5 D6 D7 D8 D9 D10 D11 D12 D13 D14 D15 D16 D17 D18 D19 D20 D21 D22 D23 D24" showDropDown="0" showInputMessage="0" showErrorMessage="0" allowBlank="1" type="list">
      <formula1>"g,kg,ml,L,un"</formula1>
    </dataValidation>
    <dataValidation sqref="B28" showDropDown="0" showInputMessage="0" showErrorMessage="0" allowBlank="0" type="list">
      <formula1>=$I$5:$I$8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16" customWidth="1" min="4" max="4"/>
    <col width="16" customWidth="1" min="5" max="5"/>
    <col width="15" customWidth="1" min="6" max="6"/>
    <col width="17" customWidth="1" min="7" max="7"/>
    <col width="16" customWidth="1" min="8" max="8"/>
  </cols>
  <sheetData>
    <row r="1">
      <c r="A1" s="19" t="inlineStr">
        <is>
          <t>Receita</t>
        </is>
      </c>
      <c r="B1" s="19" t="inlineStr">
        <is>
          <t>Categoria</t>
        </is>
      </c>
      <c r="C1" s="19" t="inlineStr">
        <is>
          <t>Rende (un.)</t>
        </is>
      </c>
      <c r="D1" s="19" t="inlineStr">
        <is>
          <t>Custo da receita</t>
        </is>
      </c>
      <c r="E1" s="19" t="inlineStr">
        <is>
          <t>Custo por unidade</t>
        </is>
      </c>
      <c r="F1" s="19" t="inlineStr">
        <is>
          <t>Preço de entrada</t>
        </is>
      </c>
      <c r="G1" s="19" t="inlineStr">
        <is>
          <t>Preço recomendado</t>
        </is>
      </c>
      <c r="H1" s="19" t="inlineStr">
        <is>
          <t>Preço caprichado</t>
        </is>
      </c>
    </row>
    <row r="2">
      <c r="A2" s="20" t="inlineStr">
        <is>
          <t>Bolo Gelado de Coco</t>
        </is>
      </c>
      <c r="B2" s="20" t="inlineStr">
        <is>
          <t>Bolos</t>
        </is>
      </c>
      <c r="C2" s="20" t="n">
        <v>20</v>
      </c>
      <c r="D2" s="9" t="n">
        <v>33.53</v>
      </c>
      <c r="E2" s="9" t="n">
        <v>1.68</v>
      </c>
      <c r="F2" s="9" t="n">
        <v>3.5</v>
      </c>
      <c r="G2" s="21" t="n">
        <v>4.5</v>
      </c>
      <c r="H2" s="9" t="n">
        <v>5.5</v>
      </c>
    </row>
    <row r="3">
      <c r="A3" s="20" t="inlineStr">
        <is>
          <t>Bolo de Cenoura no Pote</t>
        </is>
      </c>
      <c r="B3" s="20" t="inlineStr">
        <is>
          <t>Bolos</t>
        </is>
      </c>
      <c r="C3" s="20" t="n">
        <v>8</v>
      </c>
      <c r="D3" s="9" t="n">
        <v>24.9</v>
      </c>
      <c r="E3" s="9" t="n">
        <v>3.11</v>
      </c>
      <c r="F3" s="9" t="n">
        <v>6.5</v>
      </c>
      <c r="G3" s="21" t="n">
        <v>8</v>
      </c>
      <c r="H3" s="9" t="n">
        <v>9.5</v>
      </c>
    </row>
    <row r="4">
      <c r="A4" s="20" t="inlineStr">
        <is>
          <t>Bolo de Laranja</t>
        </is>
      </c>
      <c r="B4" s="20" t="inlineStr">
        <is>
          <t>Bolos</t>
        </is>
      </c>
      <c r="C4" s="20" t="n">
        <v>12</v>
      </c>
      <c r="D4" s="9" t="n">
        <v>18.67</v>
      </c>
      <c r="E4" s="9" t="n">
        <v>1.56</v>
      </c>
      <c r="F4" s="9" t="n">
        <v>3.5</v>
      </c>
      <c r="G4" s="21" t="n">
        <v>4</v>
      </c>
      <c r="H4" s="9" t="n">
        <v>5</v>
      </c>
    </row>
    <row r="5">
      <c r="A5" s="20" t="inlineStr">
        <is>
          <t>Mini Bolo Vulcão de Chocolate</t>
        </is>
      </c>
      <c r="B5" s="20" t="inlineStr">
        <is>
          <t>Bolos</t>
        </is>
      </c>
      <c r="C5" s="20" t="n">
        <v>8</v>
      </c>
      <c r="D5" s="9" t="n">
        <v>38.55</v>
      </c>
      <c r="E5" s="9" t="n">
        <v>4.82</v>
      </c>
      <c r="F5" s="9" t="n">
        <v>10</v>
      </c>
      <c r="G5" s="21" t="n">
        <v>12.5</v>
      </c>
      <c r="H5" s="9" t="n">
        <v>14.5</v>
      </c>
    </row>
    <row r="6">
      <c r="A6" s="20" t="inlineStr">
        <is>
          <t>Caldo Verde</t>
        </is>
      </c>
      <c r="B6" s="20" t="inlineStr">
        <is>
          <t>Caldos</t>
        </is>
      </c>
      <c r="C6" s="20" t="n">
        <v>10</v>
      </c>
      <c r="D6" s="9" t="n">
        <v>21.67</v>
      </c>
      <c r="E6" s="9" t="n">
        <v>2.17</v>
      </c>
      <c r="F6" s="9" t="n">
        <v>4.5</v>
      </c>
      <c r="G6" s="21" t="n">
        <v>5.5</v>
      </c>
      <c r="H6" s="9" t="n">
        <v>7</v>
      </c>
    </row>
    <row r="7">
      <c r="A7" s="20" t="inlineStr">
        <is>
          <t>Alfajor</t>
        </is>
      </c>
      <c r="B7" s="20" t="inlineStr">
        <is>
          <t>Doces</t>
        </is>
      </c>
      <c r="C7" s="20" t="n">
        <v>20</v>
      </c>
      <c r="D7" s="9" t="n">
        <v>51.86</v>
      </c>
      <c r="E7" s="9" t="n">
        <v>2.59</v>
      </c>
      <c r="F7" s="9" t="n">
        <v>5.5</v>
      </c>
      <c r="G7" s="21" t="n">
        <v>6.5</v>
      </c>
      <c r="H7" s="9" t="n">
        <v>8</v>
      </c>
    </row>
    <row r="8">
      <c r="A8" s="20" t="inlineStr">
        <is>
          <t>Beijinho Mole de Copinho</t>
        </is>
      </c>
      <c r="B8" s="20" t="inlineStr">
        <is>
          <t>Doces</t>
        </is>
      </c>
      <c r="C8" s="20" t="n">
        <v>12</v>
      </c>
      <c r="D8" s="9" t="n">
        <v>20.02</v>
      </c>
      <c r="E8" s="9" t="n">
        <v>1.67</v>
      </c>
      <c r="F8" s="9" t="n">
        <v>3.5</v>
      </c>
      <c r="G8" s="21" t="n">
        <v>4.5</v>
      </c>
      <c r="H8" s="9" t="n">
        <v>5.5</v>
      </c>
    </row>
    <row r="9">
      <c r="A9" s="20" t="inlineStr">
        <is>
          <t>Brigadeiro Tradicional</t>
        </is>
      </c>
      <c r="B9" s="20" t="inlineStr">
        <is>
          <t>Doces</t>
        </is>
      </c>
      <c r="C9" s="20" t="n">
        <v>50</v>
      </c>
      <c r="D9" s="9" t="n">
        <v>34.73</v>
      </c>
      <c r="E9" s="9" t="n">
        <v>0.6899999999999999</v>
      </c>
      <c r="F9" s="9" t="n">
        <v>1.5</v>
      </c>
      <c r="G9" s="21" t="n">
        <v>2</v>
      </c>
      <c r="H9" s="9" t="n">
        <v>2.5</v>
      </c>
    </row>
    <row r="10">
      <c r="A10" s="20" t="inlineStr">
        <is>
          <t>Brownie de Chocolate Fácil</t>
        </is>
      </c>
      <c r="B10" s="20" t="inlineStr">
        <is>
          <t>Doces</t>
        </is>
      </c>
      <c r="C10" s="20" t="n">
        <v>15</v>
      </c>
      <c r="D10" s="9" t="n">
        <v>34.93</v>
      </c>
      <c r="E10" s="9" t="n">
        <v>2.33</v>
      </c>
      <c r="F10" s="9" t="n">
        <v>5</v>
      </c>
      <c r="G10" s="21" t="n">
        <v>6</v>
      </c>
      <c r="H10" s="9" t="n">
        <v>7</v>
      </c>
    </row>
    <row r="11">
      <c r="A11" s="20" t="inlineStr">
        <is>
          <t>Churros com Doce de Leite</t>
        </is>
      </c>
      <c r="B11" s="20" t="inlineStr">
        <is>
          <t>Doces</t>
        </is>
      </c>
      <c r="C11" s="20" t="n">
        <v>18</v>
      </c>
      <c r="D11" s="9" t="n">
        <v>21.46</v>
      </c>
      <c r="E11" s="9" t="n">
        <v>1.19</v>
      </c>
      <c r="F11" s="9" t="n">
        <v>2.5</v>
      </c>
      <c r="G11" s="21" t="n">
        <v>3</v>
      </c>
      <c r="H11" s="9" t="n">
        <v>4</v>
      </c>
    </row>
    <row r="12">
      <c r="A12" s="20" t="inlineStr">
        <is>
          <t>Cinnamon Roll (Rolinho de Canela)</t>
        </is>
      </c>
      <c r="B12" s="20" t="inlineStr">
        <is>
          <t>Doces</t>
        </is>
      </c>
      <c r="C12" s="20" t="n">
        <v>12</v>
      </c>
      <c r="D12" s="9" t="n">
        <v>23.75</v>
      </c>
      <c r="E12" s="9" t="n">
        <v>1.98</v>
      </c>
      <c r="F12" s="9" t="n">
        <v>4</v>
      </c>
      <c r="G12" s="21" t="n">
        <v>5</v>
      </c>
      <c r="H12" s="9" t="n">
        <v>6</v>
      </c>
    </row>
    <row r="13">
      <c r="A13" s="20" t="inlineStr">
        <is>
          <t>Cocada Queimada</t>
        </is>
      </c>
      <c r="B13" s="20" t="inlineStr">
        <is>
          <t>Doces</t>
        </is>
      </c>
      <c r="C13" s="20" t="n">
        <v>25</v>
      </c>
      <c r="D13" s="9" t="n">
        <v>21.86</v>
      </c>
      <c r="E13" s="9" t="n">
        <v>0.87</v>
      </c>
      <c r="F13" s="9" t="n">
        <v>2</v>
      </c>
      <c r="G13" s="21" t="n">
        <v>2.5</v>
      </c>
      <c r="H13" s="9" t="n">
        <v>3</v>
      </c>
    </row>
    <row r="14">
      <c r="A14" s="20" t="inlineStr">
        <is>
          <t>Cookies com Gotas de Chocolate</t>
        </is>
      </c>
      <c r="B14" s="20" t="inlineStr">
        <is>
          <t>Doces</t>
        </is>
      </c>
      <c r="C14" s="20" t="n">
        <v>24</v>
      </c>
      <c r="D14" s="9" t="n">
        <v>34.86</v>
      </c>
      <c r="E14" s="9" t="n">
        <v>1.45</v>
      </c>
      <c r="F14" s="9" t="n">
        <v>3</v>
      </c>
      <c r="G14" s="21" t="n">
        <v>4</v>
      </c>
      <c r="H14" s="9" t="n">
        <v>4.5</v>
      </c>
    </row>
    <row r="15">
      <c r="A15" s="20" t="inlineStr">
        <is>
          <t>Donuts</t>
        </is>
      </c>
      <c r="B15" s="20" t="inlineStr">
        <is>
          <t>Doces</t>
        </is>
      </c>
      <c r="C15" s="20" t="n">
        <v>16</v>
      </c>
      <c r="D15" s="9" t="n">
        <v>38.21</v>
      </c>
      <c r="E15" s="9" t="n">
        <v>2.39</v>
      </c>
      <c r="F15" s="9" t="n">
        <v>5</v>
      </c>
      <c r="G15" s="21" t="n">
        <v>6</v>
      </c>
      <c r="H15" s="9" t="n">
        <v>7.5</v>
      </c>
    </row>
    <row r="16">
      <c r="A16" s="20" t="inlineStr">
        <is>
          <t>Palha Italiana</t>
        </is>
      </c>
      <c r="B16" s="20" t="inlineStr">
        <is>
          <t>Doces</t>
        </is>
      </c>
      <c r="C16" s="20" t="n">
        <v>20</v>
      </c>
      <c r="D16" s="9" t="n">
        <v>28.65</v>
      </c>
      <c r="E16" s="9" t="n">
        <v>1.43</v>
      </c>
      <c r="F16" s="9" t="n">
        <v>3</v>
      </c>
      <c r="G16" s="21" t="n">
        <v>4</v>
      </c>
      <c r="H16" s="9" t="n">
        <v>4.5</v>
      </c>
    </row>
    <row r="17">
      <c r="A17" s="20" t="inlineStr">
        <is>
          <t>Pastel de Nata</t>
        </is>
      </c>
      <c r="B17" s="20" t="inlineStr">
        <is>
          <t>Doces</t>
        </is>
      </c>
      <c r="C17" s="20" t="n">
        <v>18</v>
      </c>
      <c r="D17" s="9" t="n">
        <v>31.32</v>
      </c>
      <c r="E17" s="9" t="n">
        <v>1.74</v>
      </c>
      <c r="F17" s="9" t="n">
        <v>3.5</v>
      </c>
      <c r="G17" s="21" t="n">
        <v>4.5</v>
      </c>
      <c r="H17" s="9" t="n">
        <v>5.5</v>
      </c>
    </row>
    <row r="18">
      <c r="A18" s="20" t="inlineStr">
        <is>
          <t>Pipoca Gourmet de Chocolate</t>
        </is>
      </c>
      <c r="B18" s="20" t="inlineStr">
        <is>
          <t>Doces</t>
        </is>
      </c>
      <c r="C18" s="20" t="n">
        <v>10</v>
      </c>
      <c r="D18" s="9" t="n">
        <v>19.39</v>
      </c>
      <c r="E18" s="9" t="n">
        <v>1.94</v>
      </c>
      <c r="F18" s="9" t="n">
        <v>4</v>
      </c>
      <c r="G18" s="21" t="n">
        <v>5</v>
      </c>
      <c r="H18" s="9" t="n">
        <v>6</v>
      </c>
    </row>
    <row r="19">
      <c r="A19" s="20" t="inlineStr">
        <is>
          <t>Pão de Mel</t>
        </is>
      </c>
      <c r="B19" s="20" t="inlineStr">
        <is>
          <t>Doces</t>
        </is>
      </c>
      <c r="C19" s="20" t="n">
        <v>20</v>
      </c>
      <c r="D19" s="9" t="n">
        <v>55.08</v>
      </c>
      <c r="E19" s="9" t="n">
        <v>2.75</v>
      </c>
      <c r="F19" s="9" t="n">
        <v>6</v>
      </c>
      <c r="G19" s="21" t="n">
        <v>7</v>
      </c>
      <c r="H19" s="9" t="n">
        <v>8.5</v>
      </c>
    </row>
    <row r="20">
      <c r="A20" s="20" t="inlineStr">
        <is>
          <t>Quindim</t>
        </is>
      </c>
      <c r="B20" s="20" t="inlineStr">
        <is>
          <t>Doces</t>
        </is>
      </c>
      <c r="C20" s="20" t="n">
        <v>18</v>
      </c>
      <c r="D20" s="9" t="n">
        <v>24.16</v>
      </c>
      <c r="E20" s="9" t="n">
        <v>1.34</v>
      </c>
      <c r="F20" s="9" t="n">
        <v>3</v>
      </c>
      <c r="G20" s="21" t="n">
        <v>3.5</v>
      </c>
      <c r="H20" s="9" t="n">
        <v>4.5</v>
      </c>
    </row>
    <row r="21">
      <c r="A21" s="20" t="inlineStr">
        <is>
          <t>Trufa de Chocolate Cremosa</t>
        </is>
      </c>
      <c r="B21" s="20" t="inlineStr">
        <is>
          <t>Doces</t>
        </is>
      </c>
      <c r="C21" s="20" t="n">
        <v>25</v>
      </c>
      <c r="D21" s="9" t="n">
        <v>41.68</v>
      </c>
      <c r="E21" s="9" t="n">
        <v>1.67</v>
      </c>
      <c r="F21" s="9" t="n">
        <v>3.5</v>
      </c>
      <c r="G21" s="21" t="n">
        <v>4.5</v>
      </c>
      <c r="H21" s="9" t="n">
        <v>5.5</v>
      </c>
    </row>
    <row r="22">
      <c r="A22" s="20" t="inlineStr">
        <is>
          <t>Hambúrguer Artesanal</t>
        </is>
      </c>
      <c r="B22" s="20" t="inlineStr">
        <is>
          <t>Lanches</t>
        </is>
      </c>
      <c r="C22" s="20" t="n">
        <v>10</v>
      </c>
      <c r="D22" s="9" t="n">
        <v>89.34</v>
      </c>
      <c r="E22" s="9" t="n">
        <v>8.93</v>
      </c>
      <c r="F22" s="9" t="n">
        <v>18</v>
      </c>
      <c r="G22" s="21" t="n">
        <v>22.5</v>
      </c>
      <c r="H22" s="9" t="n">
        <v>27</v>
      </c>
    </row>
    <row r="23">
      <c r="A23" s="20" t="inlineStr">
        <is>
          <t>Sanduíche Natural de Frango</t>
        </is>
      </c>
      <c r="B23" s="20" t="inlineStr">
        <is>
          <t>Lanches</t>
        </is>
      </c>
      <c r="C23" s="20" t="n">
        <v>10</v>
      </c>
      <c r="D23" s="9" t="n">
        <v>36.28</v>
      </c>
      <c r="E23" s="9" t="n">
        <v>3.63</v>
      </c>
      <c r="F23" s="9" t="n">
        <v>7.5</v>
      </c>
      <c r="G23" s="21" t="n">
        <v>9.5</v>
      </c>
      <c r="H23" s="9" t="n">
        <v>11</v>
      </c>
    </row>
    <row r="24">
      <c r="A24" s="20" t="inlineStr">
        <is>
          <t>Escondidinho de Frango com Mandioca</t>
        </is>
      </c>
      <c r="B24" s="20" t="inlineStr">
        <is>
          <t>Marmitas</t>
        </is>
      </c>
      <c r="C24" s="20" t="n">
        <v>6</v>
      </c>
      <c r="D24" s="9" t="n">
        <v>45.4</v>
      </c>
      <c r="E24" s="9" t="n">
        <v>7.57</v>
      </c>
      <c r="F24" s="9" t="n">
        <v>15.5</v>
      </c>
      <c r="G24" s="21" t="n">
        <v>19</v>
      </c>
      <c r="H24" s="9" t="n">
        <v>23</v>
      </c>
    </row>
    <row r="25">
      <c r="A25" s="20" t="inlineStr">
        <is>
          <t>Lasanha à Bolonhesa</t>
        </is>
      </c>
      <c r="B25" s="20" t="inlineStr">
        <is>
          <t>Marmitas</t>
        </is>
      </c>
      <c r="C25" s="20" t="n">
        <v>6</v>
      </c>
      <c r="D25" s="9" t="n">
        <v>70.91</v>
      </c>
      <c r="E25" s="9" t="n">
        <v>11.82</v>
      </c>
      <c r="F25" s="9" t="n">
        <v>24</v>
      </c>
      <c r="G25" s="21" t="n">
        <v>30</v>
      </c>
      <c r="H25" s="9" t="n">
        <v>35.5</v>
      </c>
    </row>
    <row r="26">
      <c r="A26" s="20" t="inlineStr">
        <is>
          <t>Rosca Doce de Coco</t>
        </is>
      </c>
      <c r="B26" s="20" t="inlineStr">
        <is>
          <t>Pães</t>
        </is>
      </c>
      <c r="C26" s="20" t="n">
        <v>2</v>
      </c>
      <c r="D26" s="9" t="n">
        <v>26.81</v>
      </c>
      <c r="E26" s="9" t="n">
        <v>13.41</v>
      </c>
      <c r="F26" s="9" t="n">
        <v>27</v>
      </c>
      <c r="G26" s="21" t="n">
        <v>34</v>
      </c>
      <c r="H26" s="9" t="n">
        <v>40.5</v>
      </c>
    </row>
    <row r="27">
      <c r="A27" s="20" t="inlineStr">
        <is>
          <t>Bolinha de Queijo</t>
        </is>
      </c>
      <c r="B27" s="20" t="inlineStr">
        <is>
          <t>Salgados</t>
        </is>
      </c>
      <c r="C27" s="20" t="n">
        <v>80</v>
      </c>
      <c r="D27" s="9" t="n">
        <v>55.49</v>
      </c>
      <c r="E27" s="9" t="n">
        <v>0.6899999999999999</v>
      </c>
      <c r="F27" s="9" t="n">
        <v>1.5</v>
      </c>
      <c r="G27" s="21" t="n">
        <v>2</v>
      </c>
      <c r="H27" s="9" t="n">
        <v>2.5</v>
      </c>
    </row>
    <row r="28">
      <c r="A28" s="20" t="inlineStr">
        <is>
          <t>Bolinho de Arroz</t>
        </is>
      </c>
      <c r="B28" s="20" t="inlineStr">
        <is>
          <t>Salgados</t>
        </is>
      </c>
      <c r="C28" s="20" t="n">
        <v>30</v>
      </c>
      <c r="D28" s="9" t="n">
        <v>19.78</v>
      </c>
      <c r="E28" s="9" t="n">
        <v>0.66</v>
      </c>
      <c r="F28" s="9" t="n">
        <v>1.5</v>
      </c>
      <c r="G28" s="21" t="n">
        <v>2</v>
      </c>
      <c r="H28" s="9" t="n">
        <v>2</v>
      </c>
    </row>
    <row r="29">
      <c r="A29" s="20" t="inlineStr">
        <is>
          <t>Coxinha de Frango</t>
        </is>
      </c>
      <c r="B29" s="20" t="inlineStr">
        <is>
          <t>Salgados</t>
        </is>
      </c>
      <c r="C29" s="20" t="n">
        <v>30</v>
      </c>
      <c r="D29" s="9" t="n">
        <v>32.95</v>
      </c>
      <c r="E29" s="9" t="n">
        <v>1.1</v>
      </c>
      <c r="F29" s="9" t="n">
        <v>2.5</v>
      </c>
      <c r="G29" s="21" t="n">
        <v>3</v>
      </c>
      <c r="H29" s="9" t="n">
        <v>3.5</v>
      </c>
    </row>
    <row r="30">
      <c r="A30" s="20" t="inlineStr">
        <is>
          <t>Croquete de Carne</t>
        </is>
      </c>
      <c r="B30" s="20" t="inlineStr">
        <is>
          <t>Salgados</t>
        </is>
      </c>
      <c r="C30" s="20" t="n">
        <v>40</v>
      </c>
      <c r="D30" s="9" t="n">
        <v>35.95</v>
      </c>
      <c r="E30" s="9" t="n">
        <v>0.9</v>
      </c>
      <c r="F30" s="9" t="n">
        <v>2</v>
      </c>
      <c r="G30" s="21" t="n">
        <v>2.5</v>
      </c>
      <c r="H30" s="9" t="n">
        <v>3</v>
      </c>
    </row>
    <row r="31">
      <c r="A31" s="20" t="inlineStr">
        <is>
          <t>Empada de Frango</t>
        </is>
      </c>
      <c r="B31" s="20" t="inlineStr">
        <is>
          <t>Salgados</t>
        </is>
      </c>
      <c r="C31" s="20" t="n">
        <v>35</v>
      </c>
      <c r="D31" s="9" t="n">
        <v>37.3</v>
      </c>
      <c r="E31" s="9" t="n">
        <v>1.07</v>
      </c>
      <c r="F31" s="9" t="n">
        <v>2.5</v>
      </c>
      <c r="G31" s="21" t="n">
        <v>3</v>
      </c>
      <c r="H31" s="9" t="n">
        <v>3.5</v>
      </c>
    </row>
    <row r="32">
      <c r="A32" s="20" t="inlineStr">
        <is>
          <t>Empanada Argentina de Carne</t>
        </is>
      </c>
      <c r="B32" s="20" t="inlineStr">
        <is>
          <t>Salgados</t>
        </is>
      </c>
      <c r="C32" s="20" t="n">
        <v>16</v>
      </c>
      <c r="D32" s="9" t="n">
        <v>39.2</v>
      </c>
      <c r="E32" s="9" t="n">
        <v>2.45</v>
      </c>
      <c r="F32" s="9" t="n">
        <v>5</v>
      </c>
      <c r="G32" s="21" t="n">
        <v>6.5</v>
      </c>
      <c r="H32" s="9" t="n">
        <v>7.5</v>
      </c>
    </row>
    <row r="33">
      <c r="A33" s="20" t="inlineStr">
        <is>
          <t>Enroladinho de Salsicha</t>
        </is>
      </c>
      <c r="B33" s="20" t="inlineStr">
        <is>
          <t>Salgados</t>
        </is>
      </c>
      <c r="C33" s="20" t="n">
        <v>40</v>
      </c>
      <c r="D33" s="9" t="n">
        <v>34.63</v>
      </c>
      <c r="E33" s="9" t="n">
        <v>0.87</v>
      </c>
      <c r="F33" s="9" t="n">
        <v>2</v>
      </c>
      <c r="G33" s="21" t="n">
        <v>2.5</v>
      </c>
      <c r="H33" s="9" t="n">
        <v>3</v>
      </c>
    </row>
    <row r="34">
      <c r="A34" s="20" t="inlineStr">
        <is>
          <t>Esfiha Aberta de Carne</t>
        </is>
      </c>
      <c r="B34" s="20" t="inlineStr">
        <is>
          <t>Salgados</t>
        </is>
      </c>
      <c r="C34" s="20" t="n">
        <v>30</v>
      </c>
      <c r="D34" s="9" t="n">
        <v>33.23</v>
      </c>
      <c r="E34" s="9" t="n">
        <v>1.11</v>
      </c>
      <c r="F34" s="9" t="n">
        <v>2.5</v>
      </c>
      <c r="G34" s="21" t="n">
        <v>3</v>
      </c>
      <c r="H34" s="9" t="n">
        <v>3.5</v>
      </c>
    </row>
    <row r="35">
      <c r="A35" s="20" t="inlineStr">
        <is>
          <t>Joelho de Presunto e Queijo</t>
        </is>
      </c>
      <c r="B35" s="20" t="inlineStr">
        <is>
          <t>Salgados</t>
        </is>
      </c>
      <c r="C35" s="20" t="n">
        <v>15</v>
      </c>
      <c r="D35" s="9" t="n">
        <v>40.35</v>
      </c>
      <c r="E35" s="9" t="n">
        <v>2.69</v>
      </c>
      <c r="F35" s="9" t="n">
        <v>5.5</v>
      </c>
      <c r="G35" s="21" t="n">
        <v>7</v>
      </c>
      <c r="H35" s="9" t="n">
        <v>8.5</v>
      </c>
    </row>
    <row r="36">
      <c r="A36" s="20" t="inlineStr">
        <is>
          <t>Kibe Frito</t>
        </is>
      </c>
      <c r="B36" s="20" t="inlineStr">
        <is>
          <t>Salgados</t>
        </is>
      </c>
      <c r="C36" s="20" t="n">
        <v>50</v>
      </c>
      <c r="D36" s="9" t="n">
        <v>41.63</v>
      </c>
      <c r="E36" s="9" t="n">
        <v>0.83</v>
      </c>
      <c r="F36" s="9" t="n">
        <v>2</v>
      </c>
      <c r="G36" s="21" t="n">
        <v>2.5</v>
      </c>
      <c r="H36" s="9" t="n">
        <v>2.5</v>
      </c>
    </row>
    <row r="37">
      <c r="A37" s="20" t="inlineStr">
        <is>
          <t>Mini Pizza</t>
        </is>
      </c>
      <c r="B37" s="20" t="inlineStr">
        <is>
          <t>Salgados</t>
        </is>
      </c>
      <c r="C37" s="20" t="n">
        <v>40</v>
      </c>
      <c r="D37" s="9" t="n">
        <v>37.19</v>
      </c>
      <c r="E37" s="9" t="n">
        <v>0.93</v>
      </c>
      <c r="F37" s="9" t="n">
        <v>2</v>
      </c>
      <c r="G37" s="21" t="n">
        <v>2.5</v>
      </c>
      <c r="H37" s="9" t="n">
        <v>3</v>
      </c>
    </row>
    <row r="38">
      <c r="A38" s="20" t="inlineStr">
        <is>
          <t>Pastel de Carne</t>
        </is>
      </c>
      <c r="B38" s="20" t="inlineStr">
        <is>
          <t>Salgados</t>
        </is>
      </c>
      <c r="C38" s="20" t="n">
        <v>20</v>
      </c>
      <c r="D38" s="9" t="n">
        <v>29.38</v>
      </c>
      <c r="E38" s="9" t="n">
        <v>1.47</v>
      </c>
      <c r="F38" s="9" t="n">
        <v>3</v>
      </c>
      <c r="G38" s="21" t="n">
        <v>4</v>
      </c>
      <c r="H38" s="9" t="n">
        <v>4.5</v>
      </c>
    </row>
    <row r="39">
      <c r="A39" s="20" t="inlineStr">
        <is>
          <t>Pão de Alho Caseiro</t>
        </is>
      </c>
      <c r="B39" s="20" t="inlineStr">
        <is>
          <t>Salgados</t>
        </is>
      </c>
      <c r="C39" s="20" t="n">
        <v>20</v>
      </c>
      <c r="D39" s="9" t="n">
        <v>31.43</v>
      </c>
      <c r="E39" s="9" t="n">
        <v>1.57</v>
      </c>
      <c r="F39" s="9" t="n">
        <v>3.5</v>
      </c>
      <c r="G39" s="21" t="n">
        <v>4</v>
      </c>
      <c r="H39" s="9" t="n">
        <v>5</v>
      </c>
    </row>
    <row r="40">
      <c r="A40" s="20" t="inlineStr">
        <is>
          <t>Pão de Queijo</t>
        </is>
      </c>
      <c r="B40" s="20" t="inlineStr">
        <is>
          <t>Salgados</t>
        </is>
      </c>
      <c r="C40" s="20" t="n">
        <v>50</v>
      </c>
      <c r="D40" s="9" t="n">
        <v>37.08</v>
      </c>
      <c r="E40" s="9" t="n">
        <v>0.74</v>
      </c>
      <c r="F40" s="9" t="n">
        <v>1.5</v>
      </c>
      <c r="G40" s="21" t="n">
        <v>2</v>
      </c>
      <c r="H40" s="9" t="n">
        <v>2.5</v>
      </c>
    </row>
    <row r="41">
      <c r="A41" s="20" t="inlineStr">
        <is>
          <t>Quiche de Alho-Poró</t>
        </is>
      </c>
      <c r="B41" s="20" t="inlineStr">
        <is>
          <t>Salgados</t>
        </is>
      </c>
      <c r="C41" s="20" t="n">
        <v>8</v>
      </c>
      <c r="D41" s="9" t="n">
        <v>36.8</v>
      </c>
      <c r="E41" s="9" t="n">
        <v>4.6</v>
      </c>
      <c r="F41" s="9" t="n">
        <v>9.5</v>
      </c>
      <c r="G41" s="21" t="n">
        <v>11.5</v>
      </c>
      <c r="H41" s="9" t="n">
        <v>14</v>
      </c>
    </row>
    <row r="42">
      <c r="A42" s="20" t="inlineStr">
        <is>
          <t>Risole de Presunto e Queijo</t>
        </is>
      </c>
      <c r="B42" s="20" t="inlineStr">
        <is>
          <t>Salgados</t>
        </is>
      </c>
      <c r="C42" s="20" t="n">
        <v>50</v>
      </c>
      <c r="D42" s="9" t="n">
        <v>46.43</v>
      </c>
      <c r="E42" s="9" t="n">
        <v>0.93</v>
      </c>
      <c r="F42" s="9" t="n">
        <v>2</v>
      </c>
      <c r="G42" s="21" t="n">
        <v>2.5</v>
      </c>
      <c r="H42" s="9" t="n">
        <v>3</v>
      </c>
    </row>
    <row r="43">
      <c r="A43" s="20" t="inlineStr">
        <is>
          <t>Torta de Frango de Liquidificador</t>
        </is>
      </c>
      <c r="B43" s="20" t="inlineStr">
        <is>
          <t>Salgados</t>
        </is>
      </c>
      <c r="C43" s="20" t="n">
        <v>12</v>
      </c>
      <c r="D43" s="9" t="n">
        <v>37.55</v>
      </c>
      <c r="E43" s="9" t="n">
        <v>3.13</v>
      </c>
      <c r="F43" s="9" t="n">
        <v>6.5</v>
      </c>
      <c r="G43" s="21" t="n">
        <v>8</v>
      </c>
      <c r="H43" s="9" t="n">
        <v>9.5</v>
      </c>
    </row>
    <row r="44">
      <c r="A44" s="20" t="inlineStr">
        <is>
          <t>Arroz-Doce</t>
        </is>
      </c>
      <c r="B44" s="20" t="inlineStr">
        <is>
          <t>Sobremesas</t>
        </is>
      </c>
      <c r="C44" s="20" t="n">
        <v>10</v>
      </c>
      <c r="D44" s="9" t="n">
        <v>17.67</v>
      </c>
      <c r="E44" s="9" t="n">
        <v>1.77</v>
      </c>
      <c r="F44" s="9" t="n">
        <v>4</v>
      </c>
      <c r="G44" s="21" t="n">
        <v>4.5</v>
      </c>
      <c r="H44" s="9" t="n">
        <v>5.5</v>
      </c>
    </row>
    <row r="45">
      <c r="A45" s="20" t="inlineStr">
        <is>
          <t>Morango com Creme na Travessa</t>
        </is>
      </c>
      <c r="B45" s="20" t="inlineStr">
        <is>
          <t>Sobremesas</t>
        </is>
      </c>
      <c r="C45" s="20" t="n">
        <v>10</v>
      </c>
      <c r="D45" s="9" t="n">
        <v>41.09</v>
      </c>
      <c r="E45" s="9" t="n">
        <v>4.11</v>
      </c>
      <c r="F45" s="9" t="n">
        <v>8.5</v>
      </c>
      <c r="G45" s="21" t="n">
        <v>10.5</v>
      </c>
      <c r="H45" s="9" t="n">
        <v>12.5</v>
      </c>
    </row>
    <row r="46">
      <c r="A46" s="20" t="inlineStr">
        <is>
          <t>Mousse de Maracujá Fácil</t>
        </is>
      </c>
      <c r="B46" s="20" t="inlineStr">
        <is>
          <t>Sobremesas</t>
        </is>
      </c>
      <c r="C46" s="20" t="n">
        <v>7</v>
      </c>
      <c r="D46" s="9" t="n">
        <v>14.04</v>
      </c>
      <c r="E46" s="9" t="n">
        <v>2.01</v>
      </c>
      <c r="F46" s="9" t="n">
        <v>4.5</v>
      </c>
      <c r="G46" s="21" t="n">
        <v>5.5</v>
      </c>
      <c r="H46" s="9" t="n">
        <v>6.5</v>
      </c>
    </row>
    <row r="47">
      <c r="A47" s="20" t="inlineStr">
        <is>
          <t>Pavê de Limão no Pote</t>
        </is>
      </c>
      <c r="B47" s="20" t="inlineStr">
        <is>
          <t>Sobremesas</t>
        </is>
      </c>
      <c r="C47" s="20" t="n">
        <v>6</v>
      </c>
      <c r="D47" s="9" t="n">
        <v>19.89</v>
      </c>
      <c r="E47" s="9" t="n">
        <v>3.32</v>
      </c>
      <c r="F47" s="9" t="n">
        <v>7</v>
      </c>
      <c r="G47" s="21" t="n">
        <v>8.5</v>
      </c>
      <c r="H47" s="9" t="n">
        <v>10</v>
      </c>
    </row>
    <row r="48">
      <c r="A48" s="20" t="inlineStr">
        <is>
          <t>Pudim de Leite Condensado</t>
        </is>
      </c>
      <c r="B48" s="20" t="inlineStr">
        <is>
          <t>Sobremesas</t>
        </is>
      </c>
      <c r="C48" s="20" t="n">
        <v>12</v>
      </c>
      <c r="D48" s="9" t="n">
        <v>19.45</v>
      </c>
      <c r="E48" s="9" t="n">
        <v>1.62</v>
      </c>
      <c r="F48" s="9" t="n">
        <v>3.5</v>
      </c>
      <c r="G48" s="21" t="n">
        <v>4.5</v>
      </c>
      <c r="H48" s="9" t="n">
        <v>5</v>
      </c>
    </row>
    <row r="49">
      <c r="A49" s="20" t="inlineStr">
        <is>
          <t>Tiramisù no Pote</t>
        </is>
      </c>
      <c r="B49" s="20" t="inlineStr">
        <is>
          <t>Sobremesas</t>
        </is>
      </c>
      <c r="C49" s="20" t="n">
        <v>10</v>
      </c>
      <c r="D49" s="9" t="n">
        <v>55.82</v>
      </c>
      <c r="E49" s="9" t="n">
        <v>5.58</v>
      </c>
      <c r="F49" s="9" t="n">
        <v>11.5</v>
      </c>
      <c r="G49" s="21" t="n">
        <v>14</v>
      </c>
      <c r="H49" s="9" t="n">
        <v>17</v>
      </c>
    </row>
    <row r="50">
      <c r="A50" s="20" t="inlineStr">
        <is>
          <t>Geladinho Gourmet de Morango</t>
        </is>
      </c>
      <c r="B50" s="20" t="inlineStr">
        <is>
          <t>Sorvetes</t>
        </is>
      </c>
      <c r="C50" s="20" t="n">
        <v>22</v>
      </c>
      <c r="D50" s="9" t="n">
        <v>37.95</v>
      </c>
      <c r="E50" s="9" t="n">
        <v>1.73</v>
      </c>
      <c r="F50" s="9" t="n">
        <v>3.5</v>
      </c>
      <c r="G50" s="21" t="n">
        <v>4.5</v>
      </c>
      <c r="H50" s="9" t="n">
        <v>5.5</v>
      </c>
    </row>
    <row r="51">
      <c r="A51" s="20" t="inlineStr">
        <is>
          <t>Sorvete Caseiro de Coco</t>
        </is>
      </c>
      <c r="B51" s="20" t="inlineStr">
        <is>
          <t>Sorvetes</t>
        </is>
      </c>
      <c r="C51" s="20" t="n">
        <v>12</v>
      </c>
      <c r="D51" s="9" t="n">
        <v>24.85</v>
      </c>
      <c r="E51" s="9" t="n">
        <v>2.07</v>
      </c>
      <c r="F51" s="9" t="n">
        <v>4.5</v>
      </c>
      <c r="G51" s="21" t="n">
        <v>5.5</v>
      </c>
      <c r="H51" s="9" t="n">
        <v>6.5</v>
      </c>
    </row>
    <row r="53">
      <c r="A53" s="22" t="inlineStr">
        <is>
          <t>Custos com preços de referência de supermercado (gás a R$ 120 o botijão e embalagem de R$ 0,20). Ajuste aos preços da sua cidade na Calculadora.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4" t="inlineStr">
        <is>
          <t>Quanto preciso vender?</t>
        </is>
      </c>
    </row>
    <row r="3">
      <c r="A3" t="inlineStr">
        <is>
          <t>Quanto quero de lucro no mês</t>
        </is>
      </c>
      <c r="B3" s="8" t="n">
        <v>1500</v>
      </c>
    </row>
    <row r="4">
      <c r="A4" t="inlineStr">
        <is>
          <t>Lucro por unidade (veja na Calculadora)</t>
        </is>
      </c>
      <c r="B4" s="17">
        <f>Calculadora!C42</f>
        <v/>
      </c>
    </row>
    <row r="5">
      <c r="A5" t="inlineStr">
        <is>
          <t>Dias que vou trabalhar no mês</t>
        </is>
      </c>
      <c r="B5" s="7" t="n">
        <v>22</v>
      </c>
    </row>
    <row r="7">
      <c r="A7" s="13" t="inlineStr">
        <is>
          <t>Unidades para vender no mês</t>
        </is>
      </c>
      <c r="B7" s="23">
        <f>IF(B4&gt;0,ROUNDUP(B3/B4,0),0)</f>
        <v/>
      </c>
    </row>
    <row r="8">
      <c r="A8" s="13" t="inlineStr">
        <is>
          <t>Unidades por dia</t>
        </is>
      </c>
      <c r="B8" s="23">
        <f>IF(B5&gt;0,ROUNDUP(B7/B5,0),0)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2026-10-22T16:59:53Z</dcterms:created>
  <dcterms:modified xsi:type="dcterms:W3CDTF">2026-10-22T16:59:53Z</dcterms:modified>
</cp:coreProperties>
</file>